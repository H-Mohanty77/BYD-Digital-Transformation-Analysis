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cuments/FSM/Term 2/ETB/Project 1/"/>
    </mc:Choice>
  </mc:AlternateContent>
  <xr:revisionPtr revIDLastSave="0" documentId="13_ncr:1_{87186845-4653-C447-8AB1-617E561BC19D}" xr6:coauthVersionLast="47" xr6:coauthVersionMax="47" xr10:uidLastSave="{00000000-0000-0000-0000-000000000000}"/>
  <bookViews>
    <workbookView xWindow="0" yWindow="760" windowWidth="34200" windowHeight="19400" xr2:uid="{16E79328-498C-364E-8F92-C4EB6757C4C3}"/>
  </bookViews>
  <sheets>
    <sheet name="Sheet1" sheetId="1" r:id="rId1"/>
    <sheet name="R&amp;D Analysis" sheetId="2" r:id="rId2"/>
    <sheet name="Risk Analysis" sheetId="3" r:id="rId3"/>
    <sheet name="DashBoard" sheetId="4" r:id="rId4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4" l="1"/>
  <c r="F6" i="3"/>
  <c r="E6" i="3"/>
  <c r="E12" i="2"/>
  <c r="C34" i="2"/>
</calcChain>
</file>

<file path=xl/sharedStrings.xml><?xml version="1.0" encoding="utf-8"?>
<sst xmlns="http://schemas.openxmlformats.org/spreadsheetml/2006/main" count="376" uniqueCount="132">
  <si>
    <t>Category</t>
  </si>
  <si>
    <t>Metric</t>
  </si>
  <si>
    <t>Year</t>
  </si>
  <si>
    <t>Value</t>
  </si>
  <si>
    <t>Unit</t>
  </si>
  <si>
    <t>Data Type</t>
  </si>
  <si>
    <t>Source</t>
  </si>
  <si>
    <t>R&amp;D</t>
  </si>
  <si>
    <t>Han EV virtual crash tests</t>
  </si>
  <si>
    <t>Tests</t>
  </si>
  <si>
    <t>Actual</t>
  </si>
  <si>
    <t>Case study</t>
  </si>
  <si>
    <t>R&amp;D cycle reduction</t>
  </si>
  <si>
    <t>%</t>
  </si>
  <si>
    <t>Reduction</t>
  </si>
  <si>
    <t>Global R&amp;D centers</t>
  </si>
  <si>
    <t>Centers</t>
  </si>
  <si>
    <t>Blade battery iteration speed</t>
  </si>
  <si>
    <t>×</t>
  </si>
  <si>
    <t>Multiple</t>
  </si>
  <si>
    <t>Manufacturing</t>
  </si>
  <si>
    <t>Industrial robots</t>
  </si>
  <si>
    <t>Robots</t>
  </si>
  <si>
    <t>Production automation</t>
  </si>
  <si>
    <t>IoT production nodes</t>
  </si>
  <si>
    <t>Nodes</t>
  </si>
  <si>
    <t>Production parameters monitored</t>
  </si>
  <si>
    <t>Parameters</t>
  </si>
  <si>
    <t>Downtime reduction</t>
  </si>
  <si>
    <t>Mixed-line vehicle models</t>
  </si>
  <si>
    <t>Models</t>
  </si>
  <si>
    <t>Song PLUS delivery cycle — before</t>
  </si>
  <si>
    <t>Days</t>
  </si>
  <si>
    <t>Before</t>
  </si>
  <si>
    <t>Song PLUS delivery cycle — after</t>
  </si>
  <si>
    <t>After</t>
  </si>
  <si>
    <t>Inventory turnover increase</t>
  </si>
  <si>
    <t>Increase</t>
  </si>
  <si>
    <t>Production line cycle time</t>
  </si>
  <si>
    <t>Seconds/vehicle</t>
  </si>
  <si>
    <t>Production capacity increase</t>
  </si>
  <si>
    <t>Marketing</t>
  </si>
  <si>
    <t>CRM user data</t>
  </si>
  <si>
    <t>Users</t>
  </si>
  <si>
    <t>Targeted campaign conversion increase</t>
  </si>
  <si>
    <t>Live-stream sales share</t>
  </si>
  <si>
    <t>Share</t>
  </si>
  <si>
    <t>After-sales</t>
  </si>
  <si>
    <t>T-BOX vehicle data points</t>
  </si>
  <si>
    <t>Data points</t>
  </si>
  <si>
    <t>Battery warning lead time</t>
  </si>
  <si>
    <t>Advance warning</t>
  </si>
  <si>
    <t>On-site response time</t>
  </si>
  <si>
    <t>Hours</t>
  </si>
  <si>
    <t>Remote fault resolution</t>
  </si>
  <si>
    <t>Customer satisfaction</t>
  </si>
  <si>
    <t>Points</t>
  </si>
  <si>
    <t>Product</t>
  </si>
  <si>
    <t>New-car launch increase</t>
  </si>
  <si>
    <t>YoY increase</t>
  </si>
  <si>
    <t>Intelligent-driving iteration — before</t>
  </si>
  <si>
    <t>Months</t>
  </si>
  <si>
    <t>Intelligent-driving iteration — after</t>
  </si>
  <si>
    <t>NPS</t>
  </si>
  <si>
    <t>Risk</t>
  </si>
  <si>
    <t>Data transmission interruptions</t>
  </si>
  <si>
    <t>Incidents</t>
  </si>
  <si>
    <t>Digital team with AI + automotive expertise</t>
  </si>
  <si>
    <t>Predictive-maintenance accuracy</t>
  </si>
  <si>
    <t>Predictive-maintenance design target</t>
  </si>
  <si>
    <t>Target</t>
  </si>
  <si>
    <t>European configuration errors vs China</t>
  </si>
  <si>
    <t>Vehicles affected by cloud outage</t>
  </si>
  <si>
    <t>Vehicles</t>
  </si>
  <si>
    <t>Logistics halted by outage</t>
  </si>
  <si>
    <t>1. Did digital transformation improve efficiency?</t>
  </si>
  <si>
    <t>Improvement</t>
  </si>
  <si>
    <t>Song + Delivery Cycle</t>
  </si>
  <si>
    <t>Production Capacity</t>
  </si>
  <si>
    <t>Downtime</t>
  </si>
  <si>
    <t>Inventory Turnover</t>
  </si>
  <si>
    <t>-</t>
  </si>
  <si>
    <t>Conclusion:</t>
  </si>
  <si>
    <t>Digital transformation substantially improved operational efficiency, particularly by reducing delivery time and downtime while increasing production capacity.</t>
  </si>
  <si>
    <t>2. Did digital transformation improve product development?</t>
  </si>
  <si>
    <t>Indicator</t>
  </si>
  <si>
    <t>Virtual crash tests</t>
  </si>
  <si>
    <t>Battery iteration speed</t>
  </si>
  <si>
    <t>3×</t>
  </si>
  <si>
    <t>Intelligent Driving Iteration</t>
  </si>
  <si>
    <t xml:space="preserve">R&amp;D cycle </t>
  </si>
  <si>
    <t xml:space="preserve">New-car launch </t>
  </si>
  <si>
    <t>↑</t>
  </si>
  <si>
    <t>↓</t>
  </si>
  <si>
    <t>Digital tools such as virtual simulation and cloud-based R&amp;D platforms are associated with faster development and iteration, allowing BYD to accelerate product innovation.</t>
  </si>
  <si>
    <t>3. Did digital transformation improve customer performance?</t>
  </si>
  <si>
    <t>Customer Metric</t>
  </si>
  <si>
    <t xml:space="preserve">Targeted Campaign Conversion </t>
  </si>
  <si>
    <t>The case data indicates strong customer and marketing outcomes from BYD's digital systems, particularly targeted marketing and predictive after-sales service.</t>
  </si>
  <si>
    <t>4. What is the key problem/risk?</t>
  </si>
  <si>
    <t>A. Predictive-maintenance gap</t>
  </si>
  <si>
    <t>Gap</t>
  </si>
  <si>
    <t>Predictive maintenance accuracy</t>
  </si>
  <si>
    <t>BYD is achieving about 91.11% of its target</t>
  </si>
  <si>
    <t>Achieved Target</t>
  </si>
  <si>
    <t>B. Other risks</t>
  </si>
  <si>
    <t>Risk indicator</t>
  </si>
  <si>
    <t>Digital experts with AI + automotive expertise</t>
  </si>
  <si>
    <t>1.8×</t>
  </si>
  <si>
    <t>Logistics halted</t>
  </si>
  <si>
    <t>3 hours</t>
  </si>
  <si>
    <t>BYD DIGITAL TRANSFORMATION — RISK DASHBOARD</t>
  </si>
  <si>
    <t>Digital transformation risks and operational vulnerabilities</t>
  </si>
  <si>
    <t>Digital Talent</t>
  </si>
  <si>
    <t>AI + Automotive Expertise</t>
  </si>
  <si>
    <t>1.8X</t>
  </si>
  <si>
    <t>European Errors</t>
  </si>
  <si>
    <t>Configuration errors vs China</t>
  </si>
  <si>
    <t>Data Incidents</t>
  </si>
  <si>
    <t>Regional data transmission interruption</t>
  </si>
  <si>
    <t>Vehicles Affected</t>
  </si>
  <si>
    <t xml:space="preserve"> Vehicles affected by cloud outage</t>
  </si>
  <si>
    <t>Predictive Maintenance Accuracy</t>
  </si>
  <si>
    <t>Market</t>
  </si>
  <si>
    <t>Relative Errors</t>
  </si>
  <si>
    <t>China</t>
  </si>
  <si>
    <t>Europe</t>
  </si>
  <si>
    <t>CLOUD OUTAGE IMPACT</t>
  </si>
  <si>
    <t>3 Hours</t>
  </si>
  <si>
    <t>Logistics Halted</t>
  </si>
  <si>
    <t>KEY INSIGHT</t>
  </si>
  <si>
    <t>BYD's digital transformation has improved operational efficiency, but increasing dependence on digital systems creates new vulnerabilities. The case identifies limited interdisciplinary talent, higher European configuration errors, data-transmission interruptions, and operational disruption caused by cloud-system failure. Predictive-maintenance accuracy of 82%, against a 90% target, also highlights a performance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</si>
</sst>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i/>
      <sz val="14"/>
      <color theme="1"/>
      <name val="Aptos Narrow (Body)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DIN Condensed Bold"/>
    </font>
    <font>
      <sz val="24"/>
      <color theme="3"/>
      <name val="DIN Condensed Bold"/>
    </font>
    <font>
      <sz val="24"/>
      <color theme="1"/>
      <name val="DIN Condensed Bold"/>
    </font>
    <font>
      <sz val="20"/>
      <color theme="0"/>
      <name val="Bernard MT Condensed"/>
      <family val="1"/>
    </font>
    <font>
      <sz val="16"/>
      <color theme="1"/>
      <name val="DIN Condensed Bold"/>
    </font>
    <font>
      <sz val="20"/>
      <color theme="0"/>
      <name val="DIN Condensed Bold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3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/>
    <xf numFmtId="0" fontId="12" fillId="0" borderId="1" xfId="0" applyFont="1" applyBorder="1"/>
    <xf numFmtId="0" fontId="12" fillId="0" borderId="1" xfId="0" applyFont="1" applyBorder="1" applyAlignment="1">
      <alignment horizontal="left" vertical="center"/>
    </xf>
    <xf numFmtId="9" fontId="12" fillId="0" borderId="1" xfId="0" applyNumberFormat="1" applyFont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top"/>
    </xf>
    <xf numFmtId="0" fontId="1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DashBoard!$A$13</c:f>
              <c:strCache>
                <c:ptCount val="1"/>
                <c:pt idx="0">
                  <c:v>Predictive Maintenance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DashBoard!$D$12:$E$12</c:f>
              <c:strCache>
                <c:ptCount val="2"/>
                <c:pt idx="0">
                  <c:v>Actual</c:v>
                </c:pt>
                <c:pt idx="1">
                  <c:v>Target</c:v>
                </c:pt>
              </c:strCache>
            </c:strRef>
          </c:cat>
          <c:val>
            <c:numRef>
              <c:f>DashBoard!$D$13:$E$13</c:f>
              <c:numCache>
                <c:formatCode>0%</c:formatCode>
                <c:ptCount val="2"/>
                <c:pt idx="0">
                  <c:v>0.82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1-9940-9750-E1FD293BE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9924543"/>
        <c:axId val="619937087"/>
      </c:barChart>
      <c:catAx>
        <c:axId val="6199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37087"/>
        <c:crosses val="autoZero"/>
        <c:auto val="1"/>
        <c:lblAlgn val="ctr"/>
        <c:lblOffset val="100"/>
        <c:noMultiLvlLbl val="0"/>
      </c:catAx>
      <c:valAx>
        <c:axId val="619937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2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Europe vs China: Relative Configuration Errors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DashBoard!$B$35</c:f>
              <c:strCache>
                <c:ptCount val="1"/>
                <c:pt idx="0">
                  <c:v>Relative Errors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DashBoard!$A$36:$A$37</c:f>
              <c:strCache>
                <c:ptCount val="2"/>
                <c:pt idx="0">
                  <c:v>China</c:v>
                </c:pt>
                <c:pt idx="1">
                  <c:v>Europe</c:v>
                </c:pt>
              </c:strCache>
            </c:strRef>
          </c:cat>
          <c:val>
            <c:numRef>
              <c:f>DashBoard!$B$36:$B$37</c:f>
              <c:numCache>
                <c:formatCode>General</c:formatCode>
                <c:ptCount val="2"/>
                <c:pt idx="0">
                  <c:v>1</c:v>
                </c:pt>
                <c:pt idx="1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F-A64E-9F02-98C7177C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97503"/>
        <c:axId val="614601983"/>
      </c:barChart>
      <c:catAx>
        <c:axId val="6145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01983"/>
        <c:crosses val="autoZero"/>
        <c:auto val="1"/>
        <c:lblAlgn val="ctr"/>
        <c:lblOffset val="100"/>
        <c:noMultiLvlLbl val="0"/>
      </c:catAx>
      <c:valAx>
        <c:axId val="6146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9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69850</xdr:rowOff>
    </xdr:from>
    <xdr:to>
      <xdr:col>5</xdr:col>
      <xdr:colOff>812800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15B190-08A0-4118-DC1E-A28B3E950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476250</xdr:colOff>
      <xdr:row>31</xdr:row>
      <xdr:rowOff>158750</xdr:rowOff>
    </xdr:from>
    <xdr:to>
      <xdr:col>5</xdr:col>
      <xdr:colOff>812800</xdr:colOff>
      <xdr:row>41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876570-C126-D5E1-79FC-7F32238C0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DD54-B8CA-F04A-B544-F4AB27F6F21E}">
  <dimension ref="A1:G35"/>
  <sheetViews>
    <sheetView tabSelected="1" zoomScale="125" workbookViewId="0">
      <selection activeCell="K4" sqref="K4"/>
    </sheetView>
  </sheetViews>
  <sheetFormatPr baseColWidth="10" defaultRowHeight="16"/>
  <cols>
    <col min="1" max="1" width="12.83203125" bestFit="1" customWidth="1"/>
    <col min="2" max="2" width="36" bestFit="1" customWidth="1"/>
    <col min="3" max="3" width="9.83203125" customWidth="1"/>
    <col min="4" max="4" width="11.6640625" customWidth="1"/>
    <col min="5" max="5" width="14.5" bestFit="1" customWidth="1"/>
    <col min="6" max="6" width="14.6640625" bestFit="1" customWidth="1"/>
    <col min="7" max="7" width="10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2024</v>
      </c>
      <c r="D2">
        <v>100000</v>
      </c>
      <c r="E2" t="s">
        <v>9</v>
      </c>
      <c r="F2" t="s">
        <v>10</v>
      </c>
      <c r="G2" t="s">
        <v>11</v>
      </c>
    </row>
    <row r="3" spans="1:7">
      <c r="A3" t="s">
        <v>7</v>
      </c>
      <c r="B3" t="s">
        <v>12</v>
      </c>
      <c r="C3">
        <v>2024</v>
      </c>
      <c r="D3">
        <v>40</v>
      </c>
      <c r="E3" t="s">
        <v>13</v>
      </c>
      <c r="F3" t="s">
        <v>14</v>
      </c>
      <c r="G3" t="s">
        <v>11</v>
      </c>
    </row>
    <row r="4" spans="1:7">
      <c r="A4" t="s">
        <v>7</v>
      </c>
      <c r="B4" t="s">
        <v>15</v>
      </c>
      <c r="C4">
        <v>2024</v>
      </c>
      <c r="D4">
        <v>6</v>
      </c>
      <c r="E4" t="s">
        <v>16</v>
      </c>
      <c r="F4" t="s">
        <v>10</v>
      </c>
      <c r="G4" t="s">
        <v>11</v>
      </c>
    </row>
    <row r="5" spans="1:7">
      <c r="A5" t="s">
        <v>7</v>
      </c>
      <c r="B5" t="s">
        <v>17</v>
      </c>
      <c r="C5">
        <v>2024</v>
      </c>
      <c r="D5">
        <v>3</v>
      </c>
      <c r="E5" t="s">
        <v>18</v>
      </c>
      <c r="F5" t="s">
        <v>19</v>
      </c>
      <c r="G5" t="s">
        <v>11</v>
      </c>
    </row>
    <row r="6" spans="1:7">
      <c r="A6" t="s">
        <v>20</v>
      </c>
      <c r="B6" t="s">
        <v>21</v>
      </c>
      <c r="C6">
        <v>2024</v>
      </c>
      <c r="D6">
        <v>1000</v>
      </c>
      <c r="E6" t="s">
        <v>22</v>
      </c>
      <c r="F6" t="s">
        <v>10</v>
      </c>
      <c r="G6" t="s">
        <v>11</v>
      </c>
    </row>
    <row r="7" spans="1:7">
      <c r="A7" t="s">
        <v>20</v>
      </c>
      <c r="B7" t="s">
        <v>23</v>
      </c>
      <c r="C7">
        <v>2024</v>
      </c>
      <c r="D7">
        <v>95</v>
      </c>
      <c r="E7" t="s">
        <v>13</v>
      </c>
      <c r="F7" t="s">
        <v>10</v>
      </c>
      <c r="G7" t="s">
        <v>11</v>
      </c>
    </row>
    <row r="8" spans="1:7">
      <c r="A8" t="s">
        <v>20</v>
      </c>
      <c r="B8" t="s">
        <v>24</v>
      </c>
      <c r="C8">
        <v>2024</v>
      </c>
      <c r="D8">
        <v>28000</v>
      </c>
      <c r="E8" t="s">
        <v>25</v>
      </c>
      <c r="F8" t="s">
        <v>10</v>
      </c>
      <c r="G8" t="s">
        <v>11</v>
      </c>
    </row>
    <row r="9" spans="1:7">
      <c r="A9" t="s">
        <v>20</v>
      </c>
      <c r="B9" t="s">
        <v>26</v>
      </c>
      <c r="C9">
        <v>2024</v>
      </c>
      <c r="D9">
        <v>3000</v>
      </c>
      <c r="E9" t="s">
        <v>27</v>
      </c>
      <c r="F9" t="s">
        <v>10</v>
      </c>
      <c r="G9" t="s">
        <v>11</v>
      </c>
    </row>
    <row r="10" spans="1:7">
      <c r="A10" t="s">
        <v>20</v>
      </c>
      <c r="B10" t="s">
        <v>28</v>
      </c>
      <c r="C10">
        <v>2024</v>
      </c>
      <c r="D10">
        <v>60</v>
      </c>
      <c r="E10" t="s">
        <v>13</v>
      </c>
      <c r="F10" t="s">
        <v>14</v>
      </c>
      <c r="G10" t="s">
        <v>11</v>
      </c>
    </row>
    <row r="11" spans="1:7">
      <c r="A11" t="s">
        <v>20</v>
      </c>
      <c r="B11" t="s">
        <v>29</v>
      </c>
      <c r="C11">
        <v>2024</v>
      </c>
      <c r="D11">
        <v>12</v>
      </c>
      <c r="E11" t="s">
        <v>30</v>
      </c>
      <c r="F11" t="s">
        <v>10</v>
      </c>
      <c r="G11" t="s">
        <v>11</v>
      </c>
    </row>
    <row r="12" spans="1:7">
      <c r="A12" t="s">
        <v>20</v>
      </c>
      <c r="B12" t="s">
        <v>31</v>
      </c>
      <c r="C12">
        <v>2024</v>
      </c>
      <c r="D12">
        <v>45</v>
      </c>
      <c r="E12" t="s">
        <v>32</v>
      </c>
      <c r="F12" t="s">
        <v>33</v>
      </c>
      <c r="G12" t="s">
        <v>11</v>
      </c>
    </row>
    <row r="13" spans="1:7">
      <c r="A13" t="s">
        <v>20</v>
      </c>
      <c r="B13" t="s">
        <v>34</v>
      </c>
      <c r="C13">
        <v>2024</v>
      </c>
      <c r="D13">
        <v>15</v>
      </c>
      <c r="E13" t="s">
        <v>32</v>
      </c>
      <c r="F13" t="s">
        <v>35</v>
      </c>
      <c r="G13" t="s">
        <v>11</v>
      </c>
    </row>
    <row r="14" spans="1:7">
      <c r="A14" t="s">
        <v>20</v>
      </c>
      <c r="B14" t="s">
        <v>36</v>
      </c>
      <c r="C14">
        <v>2024</v>
      </c>
      <c r="D14">
        <v>40</v>
      </c>
      <c r="E14" t="s">
        <v>13</v>
      </c>
      <c r="F14" t="s">
        <v>37</v>
      </c>
      <c r="G14" t="s">
        <v>11</v>
      </c>
    </row>
    <row r="15" spans="1:7">
      <c r="A15" t="s">
        <v>20</v>
      </c>
      <c r="B15" t="s">
        <v>38</v>
      </c>
      <c r="C15">
        <v>2024</v>
      </c>
      <c r="D15">
        <v>51</v>
      </c>
      <c r="E15" t="s">
        <v>39</v>
      </c>
      <c r="F15" t="s">
        <v>35</v>
      </c>
      <c r="G15" t="s">
        <v>11</v>
      </c>
    </row>
    <row r="16" spans="1:7">
      <c r="A16" t="s">
        <v>20</v>
      </c>
      <c r="B16" t="s">
        <v>40</v>
      </c>
      <c r="C16">
        <v>2024</v>
      </c>
      <c r="D16">
        <v>67</v>
      </c>
      <c r="E16" t="s">
        <v>13</v>
      </c>
      <c r="F16" t="s">
        <v>37</v>
      </c>
      <c r="G16" t="s">
        <v>11</v>
      </c>
    </row>
    <row r="17" spans="1:7">
      <c r="A17" t="s">
        <v>41</v>
      </c>
      <c r="B17" t="s">
        <v>42</v>
      </c>
      <c r="C17">
        <v>2024</v>
      </c>
      <c r="D17">
        <v>20000000</v>
      </c>
      <c r="E17" t="s">
        <v>43</v>
      </c>
      <c r="F17" t="s">
        <v>10</v>
      </c>
      <c r="G17" t="s">
        <v>11</v>
      </c>
    </row>
    <row r="18" spans="1:7">
      <c r="A18" t="s">
        <v>41</v>
      </c>
      <c r="B18" t="s">
        <v>44</v>
      </c>
      <c r="C18">
        <v>2024</v>
      </c>
      <c r="D18">
        <v>27</v>
      </c>
      <c r="E18" t="s">
        <v>13</v>
      </c>
      <c r="F18" t="s">
        <v>37</v>
      </c>
      <c r="G18" t="s">
        <v>11</v>
      </c>
    </row>
    <row r="19" spans="1:7">
      <c r="A19" t="s">
        <v>41</v>
      </c>
      <c r="B19" t="s">
        <v>45</v>
      </c>
      <c r="C19">
        <v>2024</v>
      </c>
      <c r="D19">
        <v>35</v>
      </c>
      <c r="E19" t="s">
        <v>13</v>
      </c>
      <c r="F19" t="s">
        <v>46</v>
      </c>
      <c r="G19" t="s">
        <v>11</v>
      </c>
    </row>
    <row r="20" spans="1:7">
      <c r="A20" t="s">
        <v>47</v>
      </c>
      <c r="B20" t="s">
        <v>48</v>
      </c>
      <c r="C20">
        <v>2024</v>
      </c>
      <c r="D20">
        <v>120</v>
      </c>
      <c r="E20" t="s">
        <v>49</v>
      </c>
      <c r="F20" t="s">
        <v>10</v>
      </c>
      <c r="G20" t="s">
        <v>11</v>
      </c>
    </row>
    <row r="21" spans="1:7">
      <c r="A21" t="s">
        <v>47</v>
      </c>
      <c r="B21" t="s">
        <v>50</v>
      </c>
      <c r="C21">
        <v>2024</v>
      </c>
      <c r="D21">
        <v>30</v>
      </c>
      <c r="E21" t="s">
        <v>32</v>
      </c>
      <c r="F21" t="s">
        <v>51</v>
      </c>
      <c r="G21" t="s">
        <v>11</v>
      </c>
    </row>
    <row r="22" spans="1:7">
      <c r="A22" t="s">
        <v>47</v>
      </c>
      <c r="B22" t="s">
        <v>52</v>
      </c>
      <c r="C22">
        <v>2024</v>
      </c>
      <c r="D22">
        <v>2</v>
      </c>
      <c r="E22" t="s">
        <v>53</v>
      </c>
      <c r="F22" t="s">
        <v>35</v>
      </c>
      <c r="G22" t="s">
        <v>11</v>
      </c>
    </row>
    <row r="23" spans="1:7">
      <c r="A23" t="s">
        <v>47</v>
      </c>
      <c r="B23" t="s">
        <v>54</v>
      </c>
      <c r="C23">
        <v>2024</v>
      </c>
      <c r="D23">
        <v>82</v>
      </c>
      <c r="E23" t="s">
        <v>13</v>
      </c>
      <c r="F23" t="s">
        <v>10</v>
      </c>
      <c r="G23" t="s">
        <v>11</v>
      </c>
    </row>
    <row r="24" spans="1:7">
      <c r="A24" t="s">
        <v>47</v>
      </c>
      <c r="B24" t="s">
        <v>55</v>
      </c>
      <c r="C24">
        <v>2024</v>
      </c>
      <c r="D24">
        <v>96</v>
      </c>
      <c r="E24" t="s">
        <v>56</v>
      </c>
      <c r="F24" t="s">
        <v>10</v>
      </c>
      <c r="G24" t="s">
        <v>11</v>
      </c>
    </row>
    <row r="25" spans="1:7">
      <c r="A25" t="s">
        <v>57</v>
      </c>
      <c r="B25" t="s">
        <v>58</v>
      </c>
      <c r="C25">
        <v>2024</v>
      </c>
      <c r="D25">
        <v>35</v>
      </c>
      <c r="E25" t="s">
        <v>13</v>
      </c>
      <c r="F25" t="s">
        <v>59</v>
      </c>
      <c r="G25" t="s">
        <v>11</v>
      </c>
    </row>
    <row r="26" spans="1:7">
      <c r="A26" t="s">
        <v>57</v>
      </c>
      <c r="B26" t="s">
        <v>60</v>
      </c>
      <c r="C26">
        <v>2024</v>
      </c>
      <c r="D26">
        <v>6</v>
      </c>
      <c r="E26" t="s">
        <v>61</v>
      </c>
      <c r="F26" t="s">
        <v>33</v>
      </c>
      <c r="G26" t="s">
        <v>11</v>
      </c>
    </row>
    <row r="27" spans="1:7">
      <c r="A27" t="s">
        <v>57</v>
      </c>
      <c r="B27" t="s">
        <v>62</v>
      </c>
      <c r="C27">
        <v>2024</v>
      </c>
      <c r="D27">
        <v>3</v>
      </c>
      <c r="E27" t="s">
        <v>61</v>
      </c>
      <c r="F27" t="s">
        <v>35</v>
      </c>
      <c r="G27" t="s">
        <v>11</v>
      </c>
    </row>
    <row r="28" spans="1:7">
      <c r="A28" t="s">
        <v>57</v>
      </c>
      <c r="B28" t="s">
        <v>63</v>
      </c>
      <c r="C28">
        <v>2024</v>
      </c>
      <c r="D28">
        <v>68</v>
      </c>
      <c r="E28" t="s">
        <v>56</v>
      </c>
      <c r="F28" t="s">
        <v>10</v>
      </c>
      <c r="G28" t="s">
        <v>11</v>
      </c>
    </row>
    <row r="29" spans="1:7">
      <c r="A29" t="s">
        <v>64</v>
      </c>
      <c r="B29" t="s">
        <v>65</v>
      </c>
      <c r="C29">
        <v>2024</v>
      </c>
      <c r="D29">
        <v>3</v>
      </c>
      <c r="E29" t="s">
        <v>66</v>
      </c>
      <c r="F29" t="s">
        <v>10</v>
      </c>
      <c r="G29" t="s">
        <v>11</v>
      </c>
    </row>
    <row r="30" spans="1:7">
      <c r="A30" t="s">
        <v>64</v>
      </c>
      <c r="B30" t="s">
        <v>67</v>
      </c>
      <c r="C30">
        <v>2024</v>
      </c>
      <c r="D30">
        <v>12</v>
      </c>
      <c r="E30" t="s">
        <v>13</v>
      </c>
      <c r="F30" t="s">
        <v>10</v>
      </c>
      <c r="G30" t="s">
        <v>11</v>
      </c>
    </row>
    <row r="31" spans="1:7">
      <c r="A31" t="s">
        <v>64</v>
      </c>
      <c r="B31" t="s">
        <v>68</v>
      </c>
      <c r="C31">
        <v>2024</v>
      </c>
      <c r="D31">
        <v>82</v>
      </c>
      <c r="E31" t="s">
        <v>13</v>
      </c>
      <c r="F31" t="s">
        <v>10</v>
      </c>
      <c r="G31" t="s">
        <v>11</v>
      </c>
    </row>
    <row r="32" spans="1:7">
      <c r="A32" t="s">
        <v>64</v>
      </c>
      <c r="B32" t="s">
        <v>69</v>
      </c>
      <c r="C32">
        <v>2024</v>
      </c>
      <c r="D32">
        <v>90</v>
      </c>
      <c r="E32" t="s">
        <v>13</v>
      </c>
      <c r="F32" t="s">
        <v>70</v>
      </c>
      <c r="G32" t="s">
        <v>11</v>
      </c>
    </row>
    <row r="33" spans="1:7">
      <c r="A33" t="s">
        <v>64</v>
      </c>
      <c r="B33" t="s">
        <v>71</v>
      </c>
      <c r="C33">
        <v>2024</v>
      </c>
      <c r="D33">
        <v>1.8</v>
      </c>
      <c r="E33" t="s">
        <v>18</v>
      </c>
      <c r="F33" t="s">
        <v>19</v>
      </c>
      <c r="G33" t="s">
        <v>11</v>
      </c>
    </row>
    <row r="34" spans="1:7">
      <c r="A34" t="s">
        <v>64</v>
      </c>
      <c r="B34" t="s">
        <v>72</v>
      </c>
      <c r="C34">
        <v>2024</v>
      </c>
      <c r="D34">
        <v>5000</v>
      </c>
      <c r="E34" t="s">
        <v>73</v>
      </c>
      <c r="F34" t="s">
        <v>10</v>
      </c>
      <c r="G34" t="s">
        <v>11</v>
      </c>
    </row>
    <row r="35" spans="1:7">
      <c r="A35" t="s">
        <v>64</v>
      </c>
      <c r="B35" t="s">
        <v>74</v>
      </c>
      <c r="C35">
        <v>2024</v>
      </c>
      <c r="D35">
        <v>3</v>
      </c>
      <c r="E35" t="s">
        <v>53</v>
      </c>
      <c r="F35" t="s">
        <v>10</v>
      </c>
      <c r="G35" t="s">
        <v>11</v>
      </c>
    </row>
  </sheetData>
  <autoFilter ref="A1:G1" xr:uid="{5E45DD54-B8CA-F04A-B544-F4AB27F6F2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E4A3-DB9D-6B46-914E-3AC2198A48D5}">
  <dimension ref="A1:G54"/>
  <sheetViews>
    <sheetView showGridLines="0" topLeftCell="A28" zoomScale="125" workbookViewId="0">
      <selection activeCell="I25" sqref="I25"/>
    </sheetView>
  </sheetViews>
  <sheetFormatPr baseColWidth="10" defaultRowHeight="16"/>
  <cols>
    <col min="1" max="1" width="13.6640625" customWidth="1"/>
    <col min="2" max="2" width="33.33203125" customWidth="1"/>
    <col min="3" max="3" width="11" customWidth="1"/>
    <col min="4" max="4" width="14.1640625" customWidth="1"/>
    <col min="5" max="5" width="14.5" bestFit="1" customWidth="1"/>
    <col min="6" max="6" width="12.33203125" customWidth="1"/>
    <col min="7" max="7" width="12.5" customWidth="1"/>
  </cols>
  <sheetData>
    <row r="1" spans="1:7">
      <c r="A1" s="1" t="s">
        <v>75</v>
      </c>
      <c r="B1" s="1"/>
      <c r="C1" s="1"/>
      <c r="D1" s="1"/>
      <c r="E1" s="1"/>
      <c r="F1" s="1"/>
      <c r="G1" s="1"/>
    </row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t="s">
        <v>20</v>
      </c>
      <c r="B4" t="s">
        <v>31</v>
      </c>
      <c r="C4">
        <v>2024</v>
      </c>
      <c r="D4">
        <v>45</v>
      </c>
      <c r="E4" t="s">
        <v>32</v>
      </c>
      <c r="F4" t="s">
        <v>33</v>
      </c>
      <c r="G4" t="s">
        <v>11</v>
      </c>
    </row>
    <row r="5" spans="1:7">
      <c r="A5" t="s">
        <v>20</v>
      </c>
      <c r="B5" t="s">
        <v>34</v>
      </c>
      <c r="C5">
        <v>2024</v>
      </c>
      <c r="D5">
        <v>15</v>
      </c>
      <c r="E5" t="s">
        <v>32</v>
      </c>
      <c r="F5" t="s">
        <v>35</v>
      </c>
      <c r="G5" t="s">
        <v>11</v>
      </c>
    </row>
    <row r="6" spans="1:7">
      <c r="A6" t="s">
        <v>20</v>
      </c>
      <c r="B6" t="s">
        <v>28</v>
      </c>
      <c r="C6">
        <v>2024</v>
      </c>
      <c r="D6">
        <v>60</v>
      </c>
      <c r="E6" t="s">
        <v>13</v>
      </c>
      <c r="F6" t="s">
        <v>14</v>
      </c>
      <c r="G6" t="s">
        <v>11</v>
      </c>
    </row>
    <row r="7" spans="1:7">
      <c r="A7" t="s">
        <v>20</v>
      </c>
      <c r="B7" t="s">
        <v>36</v>
      </c>
      <c r="C7">
        <v>2024</v>
      </c>
      <c r="D7">
        <v>40</v>
      </c>
      <c r="E7" t="s">
        <v>13</v>
      </c>
      <c r="F7" t="s">
        <v>37</v>
      </c>
      <c r="G7" t="s">
        <v>11</v>
      </c>
    </row>
    <row r="8" spans="1:7">
      <c r="A8" t="s">
        <v>20</v>
      </c>
      <c r="B8" t="s">
        <v>38</v>
      </c>
      <c r="C8">
        <v>2024</v>
      </c>
      <c r="D8">
        <v>51</v>
      </c>
      <c r="E8" t="s">
        <v>39</v>
      </c>
      <c r="F8" t="s">
        <v>35</v>
      </c>
      <c r="G8" t="s">
        <v>11</v>
      </c>
    </row>
    <row r="9" spans="1:7">
      <c r="A9" t="s">
        <v>20</v>
      </c>
      <c r="B9" t="s">
        <v>40</v>
      </c>
      <c r="C9">
        <v>2024</v>
      </c>
      <c r="D9">
        <v>67</v>
      </c>
      <c r="E9" t="s">
        <v>13</v>
      </c>
      <c r="F9" t="s">
        <v>37</v>
      </c>
      <c r="G9" t="s">
        <v>11</v>
      </c>
    </row>
    <row r="11" spans="1:7">
      <c r="B11" s="1" t="s">
        <v>1</v>
      </c>
      <c r="C11" s="1" t="s">
        <v>33</v>
      </c>
      <c r="D11" s="1" t="s">
        <v>35</v>
      </c>
      <c r="E11" s="1" t="s">
        <v>3</v>
      </c>
      <c r="F11" s="1" t="s">
        <v>76</v>
      </c>
    </row>
    <row r="12" spans="1:7">
      <c r="B12" t="s">
        <v>77</v>
      </c>
      <c r="C12">
        <v>45</v>
      </c>
      <c r="D12">
        <v>15</v>
      </c>
      <c r="E12" s="4">
        <f>(C12-D12)/C12</f>
        <v>0.66666666666666663</v>
      </c>
      <c r="F12" s="8" t="s">
        <v>93</v>
      </c>
    </row>
    <row r="13" spans="1:7">
      <c r="B13" t="s">
        <v>78</v>
      </c>
      <c r="C13" s="7" t="s">
        <v>81</v>
      </c>
      <c r="D13" s="2">
        <v>0.67</v>
      </c>
      <c r="E13" s="2">
        <v>0.67</v>
      </c>
      <c r="F13" s="8" t="s">
        <v>92</v>
      </c>
    </row>
    <row r="14" spans="1:7">
      <c r="B14" t="s">
        <v>79</v>
      </c>
      <c r="C14" s="7" t="s">
        <v>81</v>
      </c>
      <c r="D14" s="2">
        <v>-0.6</v>
      </c>
      <c r="E14" s="2">
        <v>0.6</v>
      </c>
      <c r="F14" s="8" t="s">
        <v>93</v>
      </c>
    </row>
    <row r="15" spans="1:7">
      <c r="B15" t="s">
        <v>80</v>
      </c>
      <c r="C15" s="7" t="s">
        <v>81</v>
      </c>
      <c r="D15" s="2">
        <v>0.4</v>
      </c>
      <c r="E15" s="2">
        <v>0.4</v>
      </c>
      <c r="F15" s="8" t="s">
        <v>92</v>
      </c>
    </row>
    <row r="17" spans="1:7">
      <c r="A17" t="s">
        <v>82</v>
      </c>
      <c r="B17" t="s">
        <v>83</v>
      </c>
    </row>
    <row r="19" spans="1:7">
      <c r="A19" s="5" t="s">
        <v>84</v>
      </c>
    </row>
    <row r="21" spans="1:7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</row>
    <row r="22" spans="1:7">
      <c r="A22" t="s">
        <v>7</v>
      </c>
      <c r="B22" t="s">
        <v>8</v>
      </c>
      <c r="C22">
        <v>2024</v>
      </c>
      <c r="D22">
        <v>100000</v>
      </c>
      <c r="E22" t="s">
        <v>9</v>
      </c>
      <c r="F22" t="s">
        <v>10</v>
      </c>
      <c r="G22" t="s">
        <v>11</v>
      </c>
    </row>
    <row r="23" spans="1:7">
      <c r="A23" t="s">
        <v>7</v>
      </c>
      <c r="B23" t="s">
        <v>12</v>
      </c>
      <c r="C23">
        <v>2024</v>
      </c>
      <c r="D23">
        <v>40</v>
      </c>
      <c r="E23" t="s">
        <v>13</v>
      </c>
      <c r="F23" t="s">
        <v>14</v>
      </c>
      <c r="G23" t="s">
        <v>11</v>
      </c>
    </row>
    <row r="24" spans="1:7">
      <c r="A24" t="s">
        <v>7</v>
      </c>
      <c r="B24" t="s">
        <v>17</v>
      </c>
      <c r="C24">
        <v>2024</v>
      </c>
      <c r="D24">
        <v>3</v>
      </c>
      <c r="E24" t="s">
        <v>18</v>
      </c>
      <c r="F24" t="s">
        <v>19</v>
      </c>
      <c r="G24" t="s">
        <v>11</v>
      </c>
    </row>
    <row r="25" spans="1:7">
      <c r="A25" t="s">
        <v>57</v>
      </c>
      <c r="B25" t="s">
        <v>58</v>
      </c>
      <c r="C25">
        <v>2024</v>
      </c>
      <c r="D25">
        <v>35</v>
      </c>
      <c r="E25" t="s">
        <v>13</v>
      </c>
      <c r="F25" t="s">
        <v>59</v>
      </c>
      <c r="G25" t="s">
        <v>11</v>
      </c>
    </row>
    <row r="26" spans="1:7">
      <c r="A26" t="s">
        <v>57</v>
      </c>
      <c r="B26" t="s">
        <v>60</v>
      </c>
      <c r="C26">
        <v>2024</v>
      </c>
      <c r="D26">
        <v>6</v>
      </c>
      <c r="E26" t="s">
        <v>61</v>
      </c>
      <c r="F26" t="s">
        <v>33</v>
      </c>
      <c r="G26" t="s">
        <v>11</v>
      </c>
    </row>
    <row r="27" spans="1:7">
      <c r="A27" t="s">
        <v>57</v>
      </c>
      <c r="B27" t="s">
        <v>62</v>
      </c>
      <c r="C27">
        <v>2024</v>
      </c>
      <c r="D27">
        <v>3</v>
      </c>
      <c r="E27" t="s">
        <v>61</v>
      </c>
      <c r="F27" t="s">
        <v>35</v>
      </c>
      <c r="G27" t="s">
        <v>11</v>
      </c>
    </row>
    <row r="29" spans="1:7">
      <c r="B29" s="1" t="s">
        <v>85</v>
      </c>
      <c r="C29" s="1" t="s">
        <v>3</v>
      </c>
      <c r="D29" s="1" t="s">
        <v>76</v>
      </c>
    </row>
    <row r="30" spans="1:7">
      <c r="B30" t="s">
        <v>90</v>
      </c>
      <c r="C30" s="2">
        <v>0.4</v>
      </c>
      <c r="D30" s="8" t="s">
        <v>93</v>
      </c>
    </row>
    <row r="31" spans="1:7">
      <c r="B31" t="s">
        <v>86</v>
      </c>
      <c r="C31" s="6">
        <v>100000</v>
      </c>
      <c r="D31" s="8"/>
    </row>
    <row r="32" spans="1:7">
      <c r="B32" t="s">
        <v>87</v>
      </c>
      <c r="C32" s="7" t="s">
        <v>88</v>
      </c>
      <c r="D32" s="8"/>
    </row>
    <row r="33" spans="1:7">
      <c r="B33" t="s">
        <v>91</v>
      </c>
      <c r="C33" s="2">
        <v>0.35</v>
      </c>
      <c r="D33" s="8" t="s">
        <v>92</v>
      </c>
    </row>
    <row r="34" spans="1:7">
      <c r="B34" t="s">
        <v>89</v>
      </c>
      <c r="C34" s="3">
        <f>(D26-D27)/D26</f>
        <v>0.5</v>
      </c>
      <c r="D34" s="8" t="s">
        <v>93</v>
      </c>
    </row>
    <row r="36" spans="1:7">
      <c r="A36" t="s">
        <v>82</v>
      </c>
      <c r="B36" t="s">
        <v>94</v>
      </c>
    </row>
    <row r="38" spans="1:7">
      <c r="A38" s="5" t="s">
        <v>95</v>
      </c>
    </row>
    <row r="40" spans="1:7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1:7">
      <c r="A41" t="s">
        <v>41</v>
      </c>
      <c r="B41" t="s">
        <v>44</v>
      </c>
      <c r="C41">
        <v>2024</v>
      </c>
      <c r="D41">
        <v>27</v>
      </c>
      <c r="E41" t="s">
        <v>13</v>
      </c>
      <c r="F41" t="s">
        <v>37</v>
      </c>
      <c r="G41" t="s">
        <v>11</v>
      </c>
    </row>
    <row r="42" spans="1:7">
      <c r="A42" t="s">
        <v>41</v>
      </c>
      <c r="B42" t="s">
        <v>45</v>
      </c>
      <c r="C42">
        <v>2024</v>
      </c>
      <c r="D42">
        <v>35</v>
      </c>
      <c r="E42" t="s">
        <v>13</v>
      </c>
      <c r="F42" t="s">
        <v>46</v>
      </c>
      <c r="G42" t="s">
        <v>11</v>
      </c>
    </row>
    <row r="43" spans="1:7">
      <c r="A43" t="s">
        <v>47</v>
      </c>
      <c r="B43" t="s">
        <v>54</v>
      </c>
      <c r="C43">
        <v>2024</v>
      </c>
      <c r="D43">
        <v>82</v>
      </c>
      <c r="E43" t="s">
        <v>13</v>
      </c>
      <c r="F43" t="s">
        <v>10</v>
      </c>
      <c r="G43" t="s">
        <v>11</v>
      </c>
    </row>
    <row r="44" spans="1:7">
      <c r="A44" t="s">
        <v>47</v>
      </c>
      <c r="B44" t="s">
        <v>55</v>
      </c>
      <c r="C44">
        <v>2024</v>
      </c>
      <c r="D44">
        <v>96</v>
      </c>
      <c r="E44" t="s">
        <v>56</v>
      </c>
      <c r="F44" t="s">
        <v>10</v>
      </c>
      <c r="G44" t="s">
        <v>11</v>
      </c>
    </row>
    <row r="45" spans="1:7">
      <c r="A45" t="s">
        <v>57</v>
      </c>
      <c r="B45" t="s">
        <v>63</v>
      </c>
      <c r="C45">
        <v>2024</v>
      </c>
      <c r="D45">
        <v>68</v>
      </c>
      <c r="E45" t="s">
        <v>56</v>
      </c>
      <c r="F45" t="s">
        <v>10</v>
      </c>
      <c r="G45" t="s">
        <v>11</v>
      </c>
    </row>
    <row r="47" spans="1:7">
      <c r="B47" s="1" t="s">
        <v>96</v>
      </c>
      <c r="C47" s="1" t="s">
        <v>3</v>
      </c>
      <c r="D47" s="5" t="s">
        <v>76</v>
      </c>
    </row>
    <row r="48" spans="1:7">
      <c r="B48" t="s">
        <v>97</v>
      </c>
      <c r="C48" s="2">
        <v>0.27</v>
      </c>
      <c r="D48" s="8" t="s">
        <v>92</v>
      </c>
    </row>
    <row r="49" spans="1:5">
      <c r="B49" t="s">
        <v>45</v>
      </c>
      <c r="C49" s="2">
        <v>0.35</v>
      </c>
    </row>
    <row r="50" spans="1:5">
      <c r="B50" t="s">
        <v>54</v>
      </c>
      <c r="C50" s="2">
        <v>0.82</v>
      </c>
      <c r="E50" s="8"/>
    </row>
    <row r="51" spans="1:5">
      <c r="B51" t="s">
        <v>55</v>
      </c>
      <c r="C51">
        <v>96</v>
      </c>
    </row>
    <row r="52" spans="1:5">
      <c r="B52" t="s">
        <v>63</v>
      </c>
      <c r="C52">
        <v>68</v>
      </c>
    </row>
    <row r="54" spans="1:5">
      <c r="A54" t="s">
        <v>82</v>
      </c>
      <c r="B5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E7A-632F-B742-8DFB-F6AB28502147}">
  <dimension ref="A1:F17"/>
  <sheetViews>
    <sheetView showGridLines="0" zoomScale="150" workbookViewId="0">
      <selection activeCell="B23" sqref="B23"/>
    </sheetView>
  </sheetViews>
  <sheetFormatPr baseColWidth="10" defaultRowHeight="16"/>
  <cols>
    <col min="1" max="1" width="12.33203125" customWidth="1"/>
    <col min="2" max="2" width="36.1640625" customWidth="1"/>
    <col min="5" max="5" width="7.83203125" customWidth="1"/>
    <col min="6" max="6" width="14.1640625" bestFit="1" customWidth="1"/>
  </cols>
  <sheetData>
    <row r="1" spans="1:6">
      <c r="A1" s="5" t="s">
        <v>99</v>
      </c>
    </row>
    <row r="3" spans="1:6">
      <c r="A3" t="s">
        <v>100</v>
      </c>
    </row>
    <row r="5" spans="1:6">
      <c r="B5" s="1" t="s">
        <v>1</v>
      </c>
      <c r="C5" s="1" t="s">
        <v>10</v>
      </c>
      <c r="D5" s="1" t="s">
        <v>70</v>
      </c>
      <c r="E5" s="1" t="s">
        <v>101</v>
      </c>
      <c r="F5" s="1" t="s">
        <v>104</v>
      </c>
    </row>
    <row r="6" spans="1:6">
      <c r="B6" t="s">
        <v>102</v>
      </c>
      <c r="C6" s="2">
        <v>0.82</v>
      </c>
      <c r="D6" s="2">
        <v>0.9</v>
      </c>
      <c r="E6" s="2">
        <f>C6-D6</f>
        <v>-8.0000000000000071E-2</v>
      </c>
      <c r="F6" s="9">
        <f>C6/D6</f>
        <v>0.91111111111111098</v>
      </c>
    </row>
    <row r="8" spans="1:6">
      <c r="A8" t="s">
        <v>82</v>
      </c>
      <c r="B8" t="s">
        <v>103</v>
      </c>
    </row>
    <row r="10" spans="1:6">
      <c r="A10" t="s">
        <v>105</v>
      </c>
    </row>
    <row r="12" spans="1:6">
      <c r="B12" s="1" t="s">
        <v>106</v>
      </c>
      <c r="C12" s="1" t="s">
        <v>3</v>
      </c>
    </row>
    <row r="13" spans="1:6">
      <c r="B13" t="s">
        <v>107</v>
      </c>
      <c r="C13" s="2">
        <v>0.12</v>
      </c>
    </row>
    <row r="14" spans="1:6">
      <c r="B14" t="s">
        <v>71</v>
      </c>
      <c r="C14" s="7" t="s">
        <v>108</v>
      </c>
    </row>
    <row r="15" spans="1:6">
      <c r="B15" t="s">
        <v>65</v>
      </c>
      <c r="C15">
        <v>3</v>
      </c>
    </row>
    <row r="16" spans="1:6">
      <c r="B16" t="s">
        <v>72</v>
      </c>
      <c r="C16" s="6">
        <v>5000</v>
      </c>
    </row>
    <row r="17" spans="2:3">
      <c r="B17" t="s">
        <v>109</v>
      </c>
      <c r="C17" s="7" t="s">
        <v>110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D8C1-CC10-5842-8C87-F801113CDFAD}">
  <dimension ref="A1:H64"/>
  <sheetViews>
    <sheetView showGridLines="0" zoomScale="136" workbookViewId="0">
      <selection activeCell="H22" sqref="H22"/>
    </sheetView>
  </sheetViews>
  <sheetFormatPr baseColWidth="10" defaultRowHeight="16"/>
  <cols>
    <col min="1" max="1" width="14.1640625" customWidth="1"/>
    <col min="2" max="2" width="13.33203125" customWidth="1"/>
    <col min="4" max="4" width="12.6640625" customWidth="1"/>
    <col min="6" max="6" width="15.6640625" customWidth="1"/>
    <col min="8" max="8" width="15.6640625" customWidth="1"/>
  </cols>
  <sheetData>
    <row r="1" spans="1:8">
      <c r="A1" s="16" t="s">
        <v>111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 ht="19">
      <c r="A3" s="18" t="s">
        <v>112</v>
      </c>
      <c r="B3" s="19"/>
      <c r="C3" s="19"/>
      <c r="D3" s="19"/>
      <c r="E3" s="19"/>
      <c r="F3" s="19"/>
      <c r="G3" s="19"/>
      <c r="H3" s="19"/>
    </row>
    <row r="5" spans="1:8" ht="36">
      <c r="A5" s="20">
        <v>0.12</v>
      </c>
      <c r="B5" s="21"/>
      <c r="C5" s="22" t="s">
        <v>115</v>
      </c>
      <c r="D5" s="22"/>
      <c r="E5" s="22">
        <v>3</v>
      </c>
      <c r="F5" s="22"/>
      <c r="G5" s="22">
        <v>5000</v>
      </c>
      <c r="H5" s="22"/>
    </row>
    <row r="6" spans="1:8" ht="28" customHeight="1">
      <c r="A6" s="23" t="s">
        <v>113</v>
      </c>
      <c r="B6" s="23"/>
      <c r="C6" s="23" t="s">
        <v>116</v>
      </c>
      <c r="D6" s="23"/>
      <c r="E6" s="23" t="s">
        <v>118</v>
      </c>
      <c r="F6" s="23"/>
      <c r="G6" s="23" t="s">
        <v>120</v>
      </c>
      <c r="H6" s="23"/>
    </row>
    <row r="7" spans="1:8" ht="23" customHeight="1">
      <c r="A7" s="24" t="s">
        <v>114</v>
      </c>
      <c r="B7" s="24"/>
      <c r="C7" s="24" t="s">
        <v>117</v>
      </c>
      <c r="D7" s="24"/>
      <c r="E7" s="24" t="s">
        <v>119</v>
      </c>
      <c r="F7" s="24"/>
      <c r="G7" s="24" t="s">
        <v>121</v>
      </c>
      <c r="H7" s="24"/>
    </row>
    <row r="8" spans="1:8" ht="39" customHeight="1">
      <c r="A8" s="24"/>
      <c r="B8" s="24"/>
      <c r="C8" s="24"/>
      <c r="D8" s="24"/>
      <c r="E8" s="24"/>
      <c r="F8" s="24"/>
      <c r="G8" s="24"/>
      <c r="H8" s="24"/>
    </row>
    <row r="10" spans="1:8" ht="35" customHeight="1">
      <c r="A10" s="25" t="s">
        <v>122</v>
      </c>
      <c r="B10" s="25"/>
      <c r="C10" s="25"/>
      <c r="D10" s="25"/>
      <c r="E10" s="25"/>
      <c r="F10" s="25"/>
      <c r="G10" s="25"/>
      <c r="H10" s="25"/>
    </row>
    <row r="11" spans="1:8" ht="16" customHeight="1">
      <c r="A11" s="13"/>
      <c r="B11" s="13"/>
      <c r="C11" s="13"/>
      <c r="D11" s="13"/>
      <c r="E11" s="13"/>
      <c r="F11" s="13"/>
      <c r="G11" s="14"/>
      <c r="H11" s="14"/>
    </row>
    <row r="12" spans="1:8" ht="24">
      <c r="A12" s="27" t="s">
        <v>1</v>
      </c>
      <c r="B12" s="27"/>
      <c r="C12" s="27"/>
      <c r="D12" s="11" t="s">
        <v>10</v>
      </c>
      <c r="E12" s="11" t="s">
        <v>70</v>
      </c>
      <c r="F12" s="11" t="s">
        <v>101</v>
      </c>
    </row>
    <row r="13" spans="1:8" ht="24">
      <c r="A13" s="26" t="s">
        <v>122</v>
      </c>
      <c r="B13" s="26"/>
      <c r="C13" s="26"/>
      <c r="D13" s="12">
        <v>0.82</v>
      </c>
      <c r="E13" s="12">
        <v>0.9</v>
      </c>
      <c r="F13" s="12">
        <f>D13-E13</f>
        <v>-8.0000000000000071E-2</v>
      </c>
    </row>
    <row r="35" spans="1:8" ht="24">
      <c r="A35" s="10" t="s">
        <v>123</v>
      </c>
      <c r="B35" s="10" t="s">
        <v>124</v>
      </c>
    </row>
    <row r="36" spans="1:8" ht="24">
      <c r="A36" s="10" t="s">
        <v>125</v>
      </c>
      <c r="B36" s="10">
        <v>1</v>
      </c>
    </row>
    <row r="37" spans="1:8" ht="24">
      <c r="A37" s="10" t="s">
        <v>126</v>
      </c>
      <c r="B37" s="10">
        <v>1.8</v>
      </c>
    </row>
    <row r="40" spans="1:8">
      <c r="G40" s="14"/>
      <c r="H40" s="14"/>
    </row>
    <row r="41" spans="1:8" ht="29">
      <c r="G41" s="15"/>
      <c r="H41" s="14"/>
    </row>
    <row r="42" spans="1:8" ht="29">
      <c r="G42" s="14"/>
      <c r="H42" s="15"/>
    </row>
    <row r="43" spans="1:8" ht="35" customHeight="1">
      <c r="A43" s="28" t="s">
        <v>127</v>
      </c>
      <c r="B43" s="28"/>
      <c r="C43" s="28"/>
      <c r="D43" s="28"/>
      <c r="E43" s="28"/>
      <c r="F43" s="28"/>
      <c r="G43" s="28"/>
      <c r="H43" s="28"/>
    </row>
    <row r="45" spans="1:8">
      <c r="C45" s="29">
        <v>5000</v>
      </c>
      <c r="D45" s="29"/>
      <c r="E45" s="29" t="s">
        <v>128</v>
      </c>
      <c r="F45" s="29"/>
    </row>
    <row r="46" spans="1:8">
      <c r="C46" s="29"/>
      <c r="D46" s="29"/>
      <c r="E46" s="29"/>
      <c r="F46" s="29"/>
    </row>
    <row r="47" spans="1:8">
      <c r="C47" s="30" t="s">
        <v>120</v>
      </c>
      <c r="D47" s="30"/>
      <c r="E47" s="30" t="s">
        <v>129</v>
      </c>
      <c r="F47" s="30"/>
    </row>
    <row r="48" spans="1:8">
      <c r="C48" s="30"/>
      <c r="D48" s="30"/>
      <c r="E48" s="30"/>
      <c r="F48" s="30"/>
    </row>
    <row r="50" spans="1:8" ht="35" customHeight="1">
      <c r="A50" s="28" t="s">
        <v>130</v>
      </c>
      <c r="B50" s="28"/>
      <c r="C50" s="28"/>
      <c r="D50" s="28"/>
      <c r="E50" s="28"/>
      <c r="F50" s="28"/>
      <c r="G50" s="28"/>
      <c r="H50" s="28"/>
    </row>
    <row r="52" spans="1:8" ht="16" customHeight="1">
      <c r="A52" s="31" t="s">
        <v>131</v>
      </c>
      <c r="B52" s="31"/>
      <c r="C52" s="31"/>
      <c r="D52" s="31"/>
      <c r="E52" s="31"/>
      <c r="F52" s="31"/>
      <c r="G52" s="31"/>
      <c r="H52" s="31"/>
    </row>
    <row r="53" spans="1:8" ht="16" customHeight="1">
      <c r="A53" s="31"/>
      <c r="B53" s="31"/>
      <c r="C53" s="31"/>
      <c r="D53" s="31"/>
      <c r="E53" s="31"/>
      <c r="F53" s="31"/>
      <c r="G53" s="31"/>
      <c r="H53" s="31"/>
    </row>
    <row r="54" spans="1:8" ht="16" customHeight="1">
      <c r="A54" s="31"/>
      <c r="B54" s="31"/>
      <c r="C54" s="31"/>
      <c r="D54" s="31"/>
      <c r="E54" s="31"/>
      <c r="F54" s="31"/>
      <c r="G54" s="31"/>
      <c r="H54" s="31"/>
    </row>
    <row r="55" spans="1:8" ht="16" customHeight="1">
      <c r="A55" s="31"/>
      <c r="B55" s="31"/>
      <c r="C55" s="31"/>
      <c r="D55" s="31"/>
      <c r="E55" s="31"/>
      <c r="F55" s="31"/>
      <c r="G55" s="31"/>
      <c r="H55" s="31"/>
    </row>
    <row r="56" spans="1:8">
      <c r="A56" s="31"/>
      <c r="B56" s="31"/>
      <c r="C56" s="31"/>
      <c r="D56" s="31"/>
      <c r="E56" s="31"/>
      <c r="F56" s="31"/>
      <c r="G56" s="31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31"/>
      <c r="B59" s="31"/>
      <c r="C59" s="31"/>
      <c r="D59" s="31"/>
      <c r="E59" s="31"/>
      <c r="F59" s="31"/>
      <c r="G59" s="31"/>
      <c r="H59" s="31"/>
    </row>
    <row r="60" spans="1:8">
      <c r="A60" s="31"/>
      <c r="B60" s="31"/>
      <c r="C60" s="31"/>
      <c r="D60" s="31"/>
      <c r="E60" s="31"/>
      <c r="F60" s="31"/>
      <c r="G60" s="31"/>
      <c r="H60" s="31"/>
    </row>
    <row r="61" spans="1:8">
      <c r="A61" s="31"/>
      <c r="B61" s="31"/>
      <c r="C61" s="31"/>
      <c r="D61" s="31"/>
      <c r="E61" s="31"/>
      <c r="F61" s="31"/>
      <c r="G61" s="31"/>
      <c r="H61" s="31"/>
    </row>
    <row r="62" spans="1:8">
      <c r="A62" s="31"/>
      <c r="B62" s="31"/>
      <c r="C62" s="31"/>
      <c r="D62" s="31"/>
      <c r="E62" s="31"/>
      <c r="F62" s="31"/>
      <c r="G62" s="31"/>
      <c r="H62" s="31"/>
    </row>
    <row r="63" spans="1:8">
      <c r="A63" s="31"/>
      <c r="B63" s="31"/>
      <c r="C63" s="31"/>
      <c r="D63" s="31"/>
      <c r="E63" s="31"/>
      <c r="F63" s="31"/>
      <c r="G63" s="31"/>
      <c r="H63" s="31"/>
    </row>
    <row r="64" spans="1:8">
      <c r="A64" s="31"/>
      <c r="B64" s="31"/>
      <c r="C64" s="31"/>
      <c r="D64" s="31"/>
      <c r="E64" s="31"/>
      <c r="F64" s="31"/>
      <c r="G64" s="31"/>
      <c r="H64" s="31"/>
    </row>
  </sheetData>
  <mergeCells count="24">
    <mergeCell ref="C47:D48"/>
    <mergeCell ref="E45:F46"/>
    <mergeCell ref="E47:F48"/>
    <mergeCell ref="A50:H50"/>
    <mergeCell ref="A52:H64"/>
    <mergeCell ref="A10:H10"/>
    <mergeCell ref="A13:C13"/>
    <mergeCell ref="A12:C12"/>
    <mergeCell ref="A43:H43"/>
    <mergeCell ref="C45:D46"/>
    <mergeCell ref="A6:B6"/>
    <mergeCell ref="C6:D6"/>
    <mergeCell ref="E6:F6"/>
    <mergeCell ref="G6:H6"/>
    <mergeCell ref="A7:B8"/>
    <mergeCell ref="C7:D8"/>
    <mergeCell ref="E7:F8"/>
    <mergeCell ref="G7:H8"/>
    <mergeCell ref="A1:H2"/>
    <mergeCell ref="A3:H3"/>
    <mergeCell ref="A5:B5"/>
    <mergeCell ref="C5:D5"/>
    <mergeCell ref="E5:F5"/>
    <mergeCell ref="G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R&amp;D Analysis</vt:lpstr>
      <vt:lpstr>Risk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 Mohanty -075077</dc:creator>
  <cp:lastModifiedBy>Himanshu  Mohanty -075077</cp:lastModifiedBy>
  <dcterms:created xsi:type="dcterms:W3CDTF">2026-10-08T14:08:42Z</dcterms:created>
  <dcterms:modified xsi:type="dcterms:W3CDTF">2026-10-15T08:16:17Z</dcterms:modified>
</cp:coreProperties>
</file>